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cienergies-my.sharepoint.com/personal/jose-antonio_alvarez_vinci-energies_net/Documents/SEE/Datos/Distribucion/"/>
    </mc:Choice>
  </mc:AlternateContent>
  <xr:revisionPtr revIDLastSave="1" documentId="13_ncr:1_{B3C3F3CA-3629-4EF9-87AB-1EC5A51A778F}" xr6:coauthVersionLast="47" xr6:coauthVersionMax="47" xr10:uidLastSave="{04A6E9BE-5C26-4E61-9E00-B9C11CC8617A}"/>
  <bookViews>
    <workbookView xWindow="-110" yWindow="-110" windowWidth="19420" windowHeight="10300" xr2:uid="{F6C86757-0353-4DCC-B082-F1C5B464FCF5}"/>
  </bookViews>
  <sheets>
    <sheet name="Hoja1" sheetId="1" r:id="rId1"/>
  </sheets>
  <definedNames>
    <definedName name="_xlnm.Print_Area" localSheetId="0">Hoja1!$A$1:$T$5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  <c r="H2" i="1"/>
</calcChain>
</file>

<file path=xl/sharedStrings.xml><?xml version="1.0" encoding="utf-8"?>
<sst xmlns="http://schemas.openxmlformats.org/spreadsheetml/2006/main" count="37" uniqueCount="24">
  <si>
    <t>Disponible</t>
  </si>
  <si>
    <t>Ocupada</t>
  </si>
  <si>
    <t>Admesa i no resolta</t>
  </si>
  <si>
    <t xml:space="preserve"> Nivell de tensió
(kV)</t>
  </si>
  <si>
    <t>Comentaris</t>
  </si>
  <si>
    <t>1, 3</t>
  </si>
  <si>
    <t>SEMIE</t>
  </si>
  <si>
    <t>SEPAU</t>
  </si>
  <si>
    <t>Gestor de Xarxa</t>
  </si>
  <si>
    <t>Provincia</t>
  </si>
  <si>
    <t>Municipi</t>
  </si>
  <si>
    <t>R1-231</t>
  </si>
  <si>
    <t>Capacitat compromesa per questions regulatòries</t>
  </si>
  <si>
    <t>Posicions ocupades</t>
  </si>
  <si>
    <t>Posicions lliures</t>
  </si>
  <si>
    <t>Nus limitat per Scc (potència curtcircuit)</t>
  </si>
  <si>
    <t>Nus 0*</t>
  </si>
  <si>
    <t>SANTA LLOGAIA 400</t>
  </si>
  <si>
    <t>BESCANO 400</t>
  </si>
  <si>
    <t>X</t>
  </si>
  <si>
    <t>Y</t>
  </si>
  <si>
    <t>Subestacion_CUROS</t>
  </si>
  <si>
    <t>Subestacion_REE</t>
  </si>
  <si>
    <t>Girona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</si>
</sst>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9"/>
      <color theme="1"/>
      <name val="Verdana"/>
      <family val="2"/>
    </font>
    <font>
      <b/>
      <sz val="9"/>
      <color theme="0"/>
      <name val="Verdana"/>
      <family val="2"/>
    </font>
    <font>
      <sz val="8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00A3E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rgb="FF00A3E0"/>
      </top>
      <bottom/>
      <diagonal/>
    </border>
    <border>
      <left/>
      <right style="thin">
        <color rgb="FF00A3E0"/>
      </right>
      <top/>
      <bottom style="thin">
        <color rgb="FF00A3E0"/>
      </bottom>
      <diagonal/>
    </border>
    <border>
      <left/>
      <right style="thin">
        <color rgb="FF00A3E0"/>
      </right>
      <top/>
      <bottom/>
      <diagonal/>
    </border>
    <border>
      <left style="thin">
        <color rgb="FF00A3E0"/>
      </left>
      <right/>
      <top style="thin">
        <color rgb="FF00A3E0"/>
      </top>
      <bottom/>
      <diagonal/>
    </border>
    <border>
      <left style="thin">
        <color rgb="FF00A3E0"/>
      </left>
      <right/>
      <top/>
      <bottom style="thin">
        <color rgb="FF00A3E0"/>
      </bottom>
      <diagonal/>
    </border>
    <border>
      <left style="thin">
        <color rgb="FF00A3E0"/>
      </left>
      <right/>
      <top/>
      <bottom/>
      <diagonal/>
    </border>
    <border>
      <left style="thin">
        <color rgb="FF00A3E0"/>
      </left>
      <right/>
      <top/>
      <bottom style="thin">
        <color theme="0"/>
      </bottom>
      <diagonal/>
    </border>
    <border>
      <left style="thin">
        <color rgb="FF00A3E0"/>
      </left>
      <right/>
      <top style="thin">
        <color theme="0"/>
      </top>
      <bottom style="thin">
        <color rgb="FF00A3E0"/>
      </bottom>
      <diagonal/>
    </border>
    <border>
      <left style="thin">
        <color rgb="FF00A3E0"/>
      </left>
      <right style="thin">
        <color rgb="FF00A3E0"/>
      </right>
      <top/>
      <bottom style="thin">
        <color rgb="FF00A3E0"/>
      </bottom>
      <diagonal/>
    </border>
    <border>
      <left style="thin">
        <color rgb="FF00A3E0"/>
      </left>
      <right style="thin">
        <color rgb="FF00A3E0"/>
      </right>
      <top style="thin">
        <color theme="0"/>
      </top>
      <bottom style="thin">
        <color rgb="FF00A3E0"/>
      </bottom>
      <diagonal/>
    </border>
    <border>
      <left style="thin">
        <color rgb="FF00A3E0"/>
      </left>
      <right style="thin">
        <color rgb="FF00A3E0"/>
      </right>
      <top style="thin">
        <color rgb="FF00A3E0"/>
      </top>
      <bottom/>
      <diagonal/>
    </border>
    <border>
      <left style="thin">
        <color theme="0"/>
      </left>
      <right/>
      <top style="medium">
        <color theme="0"/>
      </top>
      <bottom style="thin">
        <color theme="1"/>
      </bottom>
      <diagonal/>
    </border>
    <border>
      <left style="thin">
        <color theme="0"/>
      </left>
      <right/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/>
      <right style="thin">
        <color rgb="FF00A3E0"/>
      </right>
      <top style="thin">
        <color rgb="FF00A3E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3" borderId="10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A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CCF9-8F55-4EBB-927C-D6593D3EF53C}">
  <sheetPr>
    <pageSetUpPr fitToPage="1"/>
  </sheetPr>
  <dimension ref="A1:T23"/>
  <sheetViews>
    <sheetView tabSelected="1" zoomScaleNormal="100" workbookViewId="0">
      <selection activeCell="D9" sqref="D9"/>
    </sheetView>
  </sheetViews>
  <sheetFormatPr baseColWidth="10" defaultColWidth="11.453125" defaultRowHeight="13.5" x14ac:dyDescent="0.3"/>
  <cols>
    <col min="1" max="6" width="11.453125" style="1"/>
    <col min="7" max="7" width="10" style="2" customWidth="1"/>
    <col min="8" max="8" width="11.453125" style="3" customWidth="1"/>
    <col min="9" max="9" width="13.7265625" style="3" customWidth="1"/>
    <col min="10" max="10" width="11.7265625" style="1" customWidth="1"/>
    <col min="11" max="16" width="12.7265625" style="3" customWidth="1"/>
    <col min="17" max="17" width="18.7265625" style="1" customWidth="1"/>
    <col min="18" max="19" width="12.7265625" style="1" customWidth="1"/>
    <col min="20" max="20" width="11.7265625" style="1" customWidth="1"/>
    <col min="21" max="16384" width="11.453125" style="1"/>
  </cols>
  <sheetData>
    <row r="1" spans="1:20" s="4" customFormat="1" ht="25" customHeight="1" x14ac:dyDescent="0.25">
      <c r="A1" s="30" t="s">
        <v>8</v>
      </c>
      <c r="B1" s="29" t="s">
        <v>9</v>
      </c>
      <c r="C1" s="29" t="s">
        <v>10</v>
      </c>
      <c r="D1" s="29" t="s">
        <v>19</v>
      </c>
      <c r="E1" s="29" t="s">
        <v>20</v>
      </c>
      <c r="F1" s="29" t="s">
        <v>21</v>
      </c>
      <c r="G1" s="27" t="s">
        <v>3</v>
      </c>
      <c r="H1" s="25" t="s">
        <v>0</v>
      </c>
      <c r="I1" s="28" t="s">
        <v>12</v>
      </c>
      <c r="J1" s="26" t="s">
        <v>1</v>
      </c>
      <c r="K1" s="31" t="s">
        <v>2</v>
      </c>
      <c r="L1" s="32"/>
      <c r="M1" s="32"/>
      <c r="N1" s="33"/>
      <c r="O1" s="30" t="s">
        <v>13</v>
      </c>
      <c r="P1" s="30" t="s">
        <v>14</v>
      </c>
      <c r="Q1" s="30" t="s">
        <v>22</v>
      </c>
      <c r="R1" s="30" t="s">
        <v>15</v>
      </c>
      <c r="S1" s="30" t="s">
        <v>16</v>
      </c>
      <c r="T1" s="29" t="s">
        <v>4</v>
      </c>
    </row>
    <row r="2" spans="1:20" s="5" customFormat="1" ht="20.149999999999999" customHeight="1" x14ac:dyDescent="0.2">
      <c r="A2" s="22" t="s">
        <v>11</v>
      </c>
      <c r="B2" s="22" t="s">
        <v>23</v>
      </c>
      <c r="C2" s="22">
        <v>1058</v>
      </c>
      <c r="D2" s="21">
        <v>470288.8</v>
      </c>
      <c r="E2" s="8">
        <v>4663780.5</v>
      </c>
      <c r="F2" s="14" t="s">
        <v>6</v>
      </c>
      <c r="G2" s="6">
        <v>25</v>
      </c>
      <c r="H2" s="10">
        <f>(1*0.7)-SUM(J2:N2)</f>
        <v>0.7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/>
      <c r="P2" s="10"/>
      <c r="Q2" s="16" t="s">
        <v>17</v>
      </c>
      <c r="R2" s="10">
        <v>0</v>
      </c>
      <c r="S2" s="10">
        <v>1</v>
      </c>
      <c r="T2" s="10" t="s">
        <v>5</v>
      </c>
    </row>
    <row r="3" spans="1:20" s="5" customFormat="1" ht="20.149999999999999" customHeight="1" x14ac:dyDescent="0.2">
      <c r="A3" s="24" t="s">
        <v>11</v>
      </c>
      <c r="B3" s="22" t="s">
        <v>23</v>
      </c>
      <c r="C3" s="24">
        <v>1058</v>
      </c>
      <c r="D3" s="9">
        <v>470288.8</v>
      </c>
      <c r="E3" s="12">
        <v>4663780.5</v>
      </c>
      <c r="F3" s="12" t="s">
        <v>6</v>
      </c>
      <c r="G3" s="7">
        <v>5</v>
      </c>
      <c r="H3" s="11">
        <f>(1*0.7)-SUM(J3:N3)</f>
        <v>0.7</v>
      </c>
      <c r="I3" s="11">
        <v>0</v>
      </c>
      <c r="J3" s="11">
        <v>0</v>
      </c>
      <c r="K3" s="11">
        <v>0</v>
      </c>
      <c r="L3" s="13">
        <v>0</v>
      </c>
      <c r="M3" s="13">
        <v>0</v>
      </c>
      <c r="N3" s="13">
        <v>0</v>
      </c>
      <c r="O3" s="13"/>
      <c r="P3" s="13"/>
      <c r="Q3" s="19" t="s">
        <v>17</v>
      </c>
      <c r="R3" s="11">
        <v>0</v>
      </c>
      <c r="S3" s="11">
        <v>1</v>
      </c>
      <c r="T3" s="11" t="s">
        <v>5</v>
      </c>
    </row>
    <row r="4" spans="1:20" s="5" customFormat="1" ht="20.149999999999999" customHeight="1" x14ac:dyDescent="0.2">
      <c r="A4" s="23" t="s">
        <v>11</v>
      </c>
      <c r="B4" s="22" t="s">
        <v>23</v>
      </c>
      <c r="C4" s="23">
        <v>1848</v>
      </c>
      <c r="D4" s="8">
        <v>464549.8</v>
      </c>
      <c r="E4" s="14">
        <v>4666028.5</v>
      </c>
      <c r="F4" s="14" t="s">
        <v>7</v>
      </c>
      <c r="G4" s="14">
        <v>25</v>
      </c>
      <c r="H4" s="8">
        <f>(1*0.7)-SUM(J4:N4)</f>
        <v>0.7</v>
      </c>
      <c r="I4" s="8">
        <v>0</v>
      </c>
      <c r="J4" s="14">
        <v>0</v>
      </c>
      <c r="K4" s="15">
        <v>0</v>
      </c>
      <c r="L4" s="14">
        <v>0</v>
      </c>
      <c r="M4" s="15">
        <v>0</v>
      </c>
      <c r="N4" s="8">
        <v>0</v>
      </c>
      <c r="O4" s="8"/>
      <c r="P4" s="8"/>
      <c r="Q4" s="17" t="s">
        <v>18</v>
      </c>
      <c r="R4" s="21">
        <v>0</v>
      </c>
      <c r="S4" s="21">
        <v>1</v>
      </c>
      <c r="T4" s="10" t="s">
        <v>5</v>
      </c>
    </row>
    <row r="5" spans="1:20" s="5" customFormat="1" ht="18" customHeight="1" x14ac:dyDescent="0.2">
      <c r="A5" s="24" t="s">
        <v>11</v>
      </c>
      <c r="B5" s="22" t="s">
        <v>23</v>
      </c>
      <c r="C5" s="24">
        <v>1848</v>
      </c>
      <c r="D5" s="9">
        <v>464549.8</v>
      </c>
      <c r="E5" s="9">
        <v>4666028.5</v>
      </c>
      <c r="F5" s="12" t="s">
        <v>7</v>
      </c>
      <c r="G5" s="12">
        <v>5</v>
      </c>
      <c r="H5" s="12">
        <f>(1*0.7)-SUM(J5:N5)</f>
        <v>0.7</v>
      </c>
      <c r="I5" s="9">
        <v>0</v>
      </c>
      <c r="J5" s="9">
        <v>0</v>
      </c>
      <c r="K5" s="12">
        <v>0</v>
      </c>
      <c r="L5" s="9">
        <v>0</v>
      </c>
      <c r="M5" s="12">
        <v>0</v>
      </c>
      <c r="N5" s="12">
        <v>0</v>
      </c>
      <c r="O5" s="12"/>
      <c r="P5" s="12"/>
      <c r="Q5" s="20" t="s">
        <v>18</v>
      </c>
      <c r="R5" s="9">
        <v>0</v>
      </c>
      <c r="S5" s="9">
        <v>1</v>
      </c>
      <c r="T5" s="11" t="s">
        <v>5</v>
      </c>
    </row>
    <row r="6" spans="1:20" ht="18" customHeight="1" x14ac:dyDescent="0.3">
      <c r="F6" s="18"/>
    </row>
    <row r="7" spans="1:20" ht="18" customHeight="1" x14ac:dyDescent="0.3"/>
    <row r="8" spans="1:20" ht="18" customHeight="1" x14ac:dyDescent="0.3"/>
    <row r="9" spans="1:20" ht="18" customHeight="1" x14ac:dyDescent="0.3"/>
    <row r="10" spans="1:20" ht="18" customHeight="1" x14ac:dyDescent="0.3"/>
    <row r="11" spans="1:20" ht="18" customHeight="1" x14ac:dyDescent="0.3"/>
    <row r="12" spans="1:20" ht="18" customHeight="1" x14ac:dyDescent="0.3"/>
    <row r="13" spans="1:20" ht="18" customHeight="1" x14ac:dyDescent="0.3"/>
    <row r="14" spans="1:20" ht="18" customHeight="1" x14ac:dyDescent="0.3"/>
    <row r="15" spans="1:20" ht="18" customHeight="1" x14ac:dyDescent="0.3"/>
    <row r="16" spans="1:20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</sheetData>
  <mergeCells count="1">
    <mergeCell ref="K1:N1"/>
  </mergeCells>
  <printOptions horizontalCentered="1"/>
  <pageMargins left="0.59055118110236227" right="0.39370078740157483" top="0.74803149606299213" bottom="0.74803149606299213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Pujadas / Bassols Energia</dc:creator>
  <cp:lastModifiedBy>ALVAREZ Jose Antonio</cp:lastModifiedBy>
  <cp:lastPrinted>2025-09-04T12:05:48Z</cp:lastPrinted>
  <dcterms:created xsi:type="dcterms:W3CDTF">2021-07-08T14:14:58Z</dcterms:created>
  <dcterms:modified xsi:type="dcterms:W3CDTF">2025-09-16T20:55:14Z</dcterms:modified>
</cp:coreProperties>
</file>